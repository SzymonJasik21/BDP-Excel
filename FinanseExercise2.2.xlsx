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15\Downloads\"/>
    </mc:Choice>
  </mc:AlternateContent>
  <xr:revisionPtr revIDLastSave="0" documentId="8_{D7E609DD-1BA5-41CD-B7F3-65114F9A8289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Dicionary" sheetId="3" r:id="rId1"/>
    <sheet name="Operations" sheetId="2" r:id="rId2"/>
    <sheet name="1" sheetId="5" r:id="rId3"/>
  </sheets>
  <definedNames>
    <definedName name="_xlnm._FilterDatabase" localSheetId="0" hidden="1">Dicionary!$A$1:$B$17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 a="1"/>
  <c r="B11" i="5" s="1"/>
  <c r="D3" i="5" s="1"/>
  <c r="E3" i="5" s="1"/>
  <c r="C9" i="5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K9" i="5" l="1"/>
  <c r="K5" i="5"/>
  <c r="K8" i="5"/>
  <c r="K4" i="5"/>
  <c r="K11" i="5" s="1"/>
  <c r="K3" i="5"/>
  <c r="K7" i="5"/>
  <c r="K10" i="5"/>
  <c r="K6" i="5"/>
  <c r="K2" i="5"/>
  <c r="H2" i="5"/>
  <c r="B16" i="5"/>
  <c r="B15" i="5"/>
  <c r="B14" i="5"/>
  <c r="H5" i="5"/>
  <c r="H7" i="5"/>
  <c r="H3" i="5"/>
  <c r="H4" i="5"/>
  <c r="H6" i="5"/>
  <c r="D6" i="5"/>
  <c r="E6" i="5" s="1"/>
  <c r="D5" i="5"/>
  <c r="E5" i="5" s="1"/>
  <c r="D2" i="5"/>
  <c r="E2" i="5" s="1"/>
  <c r="D8" i="5"/>
  <c r="E8" i="5" s="1"/>
  <c r="D4" i="5"/>
  <c r="E4" i="5" s="1"/>
  <c r="D7" i="5"/>
  <c r="E7" i="5" s="1"/>
  <c r="B17" i="5" l="1"/>
  <c r="H8" i="5"/>
  <c r="E9" i="5"/>
  <c r="D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<sst xmlns="http://schemas.openxmlformats.org/spreadsheetml/2006/main" count="733" uniqueCount="39">
  <si>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</si>
  <si>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</si>
  <si>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</si>
  <si>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</si>
  <si>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</si>
  <si>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</si>
  <si>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</si>
  <si>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</si>
  <si>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</si>
  <si>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</si>
  <si>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</si>
  <si>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</si>
  <si>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</si>
  <si>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</si>
  <si>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</si>
  <si>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</si>
  <si>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</si>
  <si>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</si>
  <si>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</si>
  <si>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</si>
  <si>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</si>
  <si>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</si>
  <si>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</si>
  <si>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</si>
  <si>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</si>
  <si>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</si>
  <si>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</si>
  <si>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</si>
  <si>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</si>
  <si>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</si>
  <si>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</si>
  <si>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</si>
  <si>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</si>
  <si>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</si>
  <si>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Transfert</t>
  </si>
  <si>
    <t>Operations</t>
  </si>
  <si>
    <t>Closing balance</t>
  </si>
  <si>
    <t>Opening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</si>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</sst>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_-* #,##0.00\ [$zł-415]_-;\-* #,##0.00\ [$zł-415]_-;_-* &quot;-&quot;??\ [$zł-415]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65" fontId="0" fillId="0" borderId="0" xfId="0" applyNumberFormat="1"/>
    <xf numFmtId="165" fontId="0" fillId="2" borderId="2" xfId="0" applyNumberFormat="1" applyFill="1" applyBorder="1"/>
    <xf numFmtId="165" fontId="0" fillId="3" borderId="2" xfId="0" applyNumberFormat="1" applyFill="1" applyBorder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165" fontId="0" fillId="6" borderId="0" xfId="0" applyNumberFormat="1" applyFill="1"/>
    <xf numFmtId="0" fontId="0" fillId="7" borderId="0" xfId="0" applyFill="1"/>
    <xf numFmtId="165" fontId="0" fillId="7" borderId="0" xfId="0" applyNumberFormat="1" applyFill="1"/>
  </cellXfs>
  <cellStyles count="1">
    <cellStyle name="Normal" xfId="0" builtinId="0"/>
  </cellStyles>
  <dxfs count="40">
    <dxf>
      <numFmt numFmtId="165" formatCode="_-* #,##0.00\ [$zł-415]_-;\-* #,##0.00\ [$zł-415]_-;_-* &quot;-&quot;??\ [$zł-415]_-;_-@_-"/>
      <fill>
        <patternFill patternType="solid">
          <fgColor indexed="64"/>
          <bgColor theme="3" tint="0.79998168889431442"/>
        </patternFill>
      </fill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165" formatCode="_-* #,##0.00\ [$zł-415]_-;\-* #,##0.00\ [$zł-415]_-;_-* &quot;-&quot;??\ [$zł-415]_-;_-@_-"/>
      <fill>
        <patternFill patternType="solid">
          <fgColor indexed="64"/>
          <bgColor theme="3" tint="0.79998168889431442"/>
        </patternFill>
      </fill>
    </dxf>
    <dxf>
      <numFmt numFmtId="165" formatCode="_-* #,##0.00\ [$zł-415]_-;\-* #,##0.00\ [$zł-415]_-;_-* &quot;-&quot;??\ [$zł-415]_-;_-@_-"/>
      <fill>
        <patternFill patternType="solid">
          <fgColor indexed="64"/>
          <bgColor theme="3" tint="0.79998168889431442"/>
        </patternFill>
      </fill>
    </dxf>
    <dxf>
      <numFmt numFmtId="165" formatCode="_-* #,##0.00\ [$zł-415]_-;\-* #,##0.00\ [$zł-415]_-;_-* &quot;-&quot;??\ [$zł-415]_-;_-@_-"/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7"/>
        </patternFill>
      </fill>
    </dxf>
    <dxf>
      <numFmt numFmtId="165" formatCode="_-* #,##0.00\ [$zł-415]_-;\-* #,##0.00\ [$zł-415]_-;_-* &quot;-&quot;??\ [$zł-415]_-;_-@_-"/>
      <fill>
        <patternFill patternType="solid">
          <fgColor indexed="64"/>
          <bgColor theme="7"/>
        </patternFill>
      </fill>
    </dxf>
    <dxf>
      <numFmt numFmtId="165" formatCode="_-* #,##0.00\ [$zł-415]_-;\-* #,##0.00\ [$zł-415]_-;_-* &quot;-&quot;??\ [$zł-415]_-;_-@_-"/>
      <fill>
        <patternFill patternType="solid">
          <fgColor indexed="64"/>
          <bgColor theme="7"/>
        </patternFill>
      </fill>
    </dxf>
    <dxf>
      <numFmt numFmtId="165" formatCode="_-* #,##0.00\ [$zł-415]_-;\-* #,##0.00\ [$zł-415]_-;_-* &quot;-&quot;??\ [$zł-415]_-;_-@_-"/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categories" displayName="categories" ref="A1:B17" totalsRowShown="0" headerRowDxfId="30" dataDxfId="26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28"/>
    <tableColumn id="2" xr3:uid="{0EA9F851-FCD1-470B-9F83-640CF24D733D}" name="Type" dataDxfId="2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EB315-109D-E041-9DC6-18E38FB09015}" name="products" displayName="products" ref="F1:G8" totalsRowShown="0" headerRowDxfId="29" dataDxfId="23">
  <autoFilter ref="F1:G8" xr:uid="{10FEB315-109D-E041-9DC6-18E38FB09015}"/>
  <sortState xmlns:xlrd2="http://schemas.microsoft.com/office/spreadsheetml/2017/richdata2" ref="F2:G8">
    <sortCondition ref="F2:F8"/>
    <sortCondition ref="G2:G8"/>
  </sortState>
  <tableColumns count="2">
    <tableColumn id="1" xr3:uid="{6A24EE09-3EA0-E040-8F11-8EF4D848D281}" name="Bank" dataDxfId="25"/>
    <tableColumn id="2" xr3:uid="{5DC547AF-683F-2849-9609-D29B1CCE96DA}" name="Product" dataDxfId="2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operations" displayName="operations" ref="A1:G207" totalsRowShown="0" headerRowDxfId="39" dataDxfId="38">
  <autoFilter ref="A1:G207" xr:uid="{77EA216C-FFD9-4A05-BF08-B832A43E3520}"/>
  <tableColumns count="7">
    <tableColumn id="1" xr3:uid="{68ACE8F2-D3B7-4A07-A81C-AF60D2DE6312}" name="Amount" dataDxfId="37"/>
    <tableColumn id="2" xr3:uid="{7254576B-CAD8-4BF8-91A7-FCE7DBDF3336}" name="Bank" dataDxfId="36"/>
    <tableColumn id="3" xr3:uid="{B4A67B35-2B8C-48AF-AB70-F7C5686F9E6F}" name="Product" dataDxfId="35"/>
    <tableColumn id="4" xr3:uid="{0AA0F34C-1B3B-40BD-A2ED-C43E9ACECCE2}" name="Category" dataDxfId="34"/>
    <tableColumn id="5" xr3:uid="{B0DC3548-A9AA-420A-8564-5F10AFE241CF}" name="Type" dataDxfId="33">
      <calculatedColumnFormula>_xlfn.XLOOKUP(operations[[#This Row],[Category]],categories[Category],categories[Type],"",0,1)</calculatedColumnFormula>
    </tableColumn>
    <tableColumn id="6" xr3:uid="{2C72B247-1CFD-44D6-BDA9-F9D0BB401FA1}" name="Date" dataDxfId="32"/>
    <tableColumn id="7" xr3:uid="{4E65CCC6-D609-484D-A68A-DC8E888AFEE9}" name="Month" dataDxfId="31">
      <calculatedColumnFormula>MONTH(operations[[#This Row],[Date]])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1F1933-ED27-4BBD-BAEF-F39A6726BF59}" name="flow_1" displayName="flow_1" ref="A1:E9" totalsRowCount="1" headerRowDxfId="22" dataDxfId="10" totalsRowDxfId="16">
  <autoFilter ref="A1:E8" xr:uid="{381F1933-ED27-4BBD-BAEF-F39A6726BF59}"/>
  <tableColumns count="5">
    <tableColumn id="1" xr3:uid="{E7E3BC2B-8E5B-4DCF-9792-9EDC6A9115F0}" name="Bank" totalsRowLabel="Total" dataDxfId="15" totalsRowDxfId="21"/>
    <tableColumn id="2" xr3:uid="{9BAC6843-3967-4474-904C-31C3452A0E5B}" name="Product" dataDxfId="14" totalsRowDxfId="20"/>
    <tableColumn id="3" xr3:uid="{16E01883-6F8E-4445-8B78-57C259DEA7CE}" name="Opening balance" totalsRowFunction="sum" dataDxfId="13" totalsRowDxfId="19"/>
    <tableColumn id="4" xr3:uid="{9D1EDDB0-DB9B-4F41-B436-818BA1610106}" name="Operations" totalsRowFunction="sum" dataDxfId="12" totalsRowDxfId="18">
      <calculatedColumnFormula>SUMIFS(operations[Amount],operations[Bank],flow_1[[#This Row],[Bank]],operations[Product],flow_1[[#This Row],[Product]],operations[Month],$B$11)</calculatedColumnFormula>
    </tableColumn>
    <tableColumn id="5" xr3:uid="{297DDB4B-508B-45B7-8141-92628508C809}" name="Closing balance" totalsRowFunction="sum" dataDxfId="11" totalsRowDxfId="17">
      <calculatedColumnFormula>flow_1[[#This Row],[Opening balance]]+flow_1[[#This Row],[Operations]]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9CBFC6-329D-45E3-A413-7BBD69571EA0}" name="incomes_1" displayName="incomes_1" ref="G1:H8" totalsRowCount="1" dataDxfId="8">
  <autoFilter ref="G1:H7" xr:uid="{D29CBFC6-329D-45E3-A413-7BBD69571EA0}"/>
  <tableColumns count="2">
    <tableColumn id="1" xr3:uid="{90F215AD-BB0D-461B-BB3D-1745CDE5C3A5}" name="Category" totalsRowLabel="Total" dataDxfId="9"/>
    <tableColumn id="2" xr3:uid="{23D1DA95-5D64-4D8C-9A0A-D3873F670E68}" name="Total" totalsRowFunction="sum" dataDxfId="5" totalsRowDxfId="2">
      <calculatedColumnFormula>SUMIFS(operations[Amount],operations[Month],$B$11,operations[Category],incomes_1[[#This Row],[Category]])</calculatedColumnFormula>
    </tableColumn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3B6B1F-E3BA-4CE0-8D25-D7AD130F2A3B}" name="expenses_1" displayName="expenses_1" ref="J1:K11" totalsRowCount="1" dataDxfId="6">
  <autoFilter ref="J1:K10" xr:uid="{2A3B6B1F-E3BA-4CE0-8D25-D7AD130F2A3B}"/>
  <tableColumns count="2">
    <tableColumn id="1" xr3:uid="{E9250E98-10CC-4119-8C9D-4AF6DE17BA07}" name="Category" totalsRowLabel="Total" dataDxfId="7"/>
    <tableColumn id="2" xr3:uid="{01CA25C2-92E4-4440-8AC8-EC2517E433DC}" name="Total" totalsRowFunction="sum" dataDxfId="0" totalsRowDxfId="1">
      <calculatedColumnFormula>SUMIFS(operations[Amount],operations[Month],$B$11,operations[Category],expenses_1[[#This Row],[Category]])</calculatedColumnFormula>
    </tableColumn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B31EB4-3FF0-4AF1-A678-A4242AB5967C}" name="balance_1" displayName="balance_1" ref="A13:B17" totalsRowCount="1">
  <autoFilter ref="A13:B16" xr:uid="{32B31EB4-3FF0-4AF1-A678-A4242AB5967C}"/>
  <tableColumns count="2">
    <tableColumn id="1" xr3:uid="{70359341-E94D-43B0-90DE-7D19D1A12C52}" name="Type" totalsRowLabel="Total"/>
    <tableColumn id="2" xr3:uid="{E64C743C-C0AD-49A4-8806-312C77609F56}" name="Total" totalsRowFunction="sum" dataDxfId="3" totalsRowDxfId="4">
      <calculatedColumnFormula>SUMIFS(operations[Amount],operations[Month],$B$11,operations[Type],balance_1[[#This Row],[Type]])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K17"/>
  <sheetViews>
    <sheetView zoomScaleNormal="100" workbookViewId="0">
      <selection activeCell="G16" sqref="G16"/>
    </sheetView>
  </sheetViews>
  <sheetFormatPr defaultColWidth="8.85546875" defaultRowHeight="15" x14ac:dyDescent="0.25"/>
  <cols>
    <col min="1" max="1" width="16" bestFit="1" customWidth="1"/>
    <col min="4" max="4" width="11" customWidth="1"/>
    <col min="6" max="6" width="10.7109375" bestFit="1" customWidth="1"/>
    <col min="7" max="7" width="18.42578125" bestFit="1" customWidth="1"/>
    <col min="9" max="9" width="13.140625" bestFit="1" customWidth="1"/>
    <col min="10" max="10" width="18.42578125" customWidth="1"/>
  </cols>
  <sheetData>
    <row r="1" spans="1:11" x14ac:dyDescent="0.25">
      <c r="A1" s="9" t="s">
        <v>3</v>
      </c>
      <c r="B1" s="10" t="s">
        <v>4</v>
      </c>
      <c r="F1" s="9" t="s">
        <v>0</v>
      </c>
      <c r="G1" s="9" t="s">
        <v>2</v>
      </c>
      <c r="I1" s="4" t="s">
        <v>11</v>
      </c>
      <c r="J1" s="4" t="s">
        <v>7</v>
      </c>
      <c r="K1" s="4" t="s">
        <v>13</v>
      </c>
    </row>
    <row r="2" spans="1:11" x14ac:dyDescent="0.25">
      <c r="A2" s="11" t="s">
        <v>18</v>
      </c>
      <c r="B2" s="12" t="s">
        <v>32</v>
      </c>
      <c r="F2" s="11" t="s">
        <v>11</v>
      </c>
      <c r="G2" s="11" t="s">
        <v>8</v>
      </c>
      <c r="I2" s="4" t="s">
        <v>8</v>
      </c>
      <c r="J2" s="4" t="s">
        <v>8</v>
      </c>
      <c r="K2" s="4" t="s">
        <v>15</v>
      </c>
    </row>
    <row r="3" spans="1:11" x14ac:dyDescent="0.25">
      <c r="A3" s="11" t="s">
        <v>22</v>
      </c>
      <c r="B3" s="12" t="s">
        <v>32</v>
      </c>
      <c r="F3" s="11" t="s">
        <v>11</v>
      </c>
      <c r="G3" s="11" t="s">
        <v>12</v>
      </c>
      <c r="I3" s="4" t="s">
        <v>12</v>
      </c>
      <c r="J3" s="4" t="s">
        <v>9</v>
      </c>
      <c r="K3" s="4" t="s">
        <v>14</v>
      </c>
    </row>
    <row r="4" spans="1:11" x14ac:dyDescent="0.25">
      <c r="A4" s="11" t="s">
        <v>20</v>
      </c>
      <c r="B4" s="12" t="s">
        <v>32</v>
      </c>
      <c r="F4" s="11" t="s">
        <v>7</v>
      </c>
      <c r="G4" s="11" t="s">
        <v>8</v>
      </c>
      <c r="I4" s="5"/>
      <c r="J4" s="4" t="s">
        <v>10</v>
      </c>
      <c r="K4" s="5"/>
    </row>
    <row r="5" spans="1:11" x14ac:dyDescent="0.25">
      <c r="A5" s="11" t="s">
        <v>17</v>
      </c>
      <c r="B5" s="12" t="s">
        <v>32</v>
      </c>
      <c r="F5" s="11" t="s">
        <v>7</v>
      </c>
      <c r="G5" s="11" t="s">
        <v>9</v>
      </c>
      <c r="I5" s="5"/>
      <c r="J5" s="5"/>
      <c r="K5" s="5"/>
    </row>
    <row r="6" spans="1:11" x14ac:dyDescent="0.25">
      <c r="A6" s="11" t="s">
        <v>21</v>
      </c>
      <c r="B6" s="12" t="s">
        <v>32</v>
      </c>
      <c r="F6" s="11" t="s">
        <v>7</v>
      </c>
      <c r="G6" s="11" t="s">
        <v>10</v>
      </c>
      <c r="I6" s="5"/>
      <c r="J6" s="5"/>
      <c r="K6" s="5"/>
    </row>
    <row r="7" spans="1:11" x14ac:dyDescent="0.25">
      <c r="A7" s="11" t="s">
        <v>19</v>
      </c>
      <c r="B7" s="12" t="s">
        <v>32</v>
      </c>
      <c r="F7" s="11" t="s">
        <v>13</v>
      </c>
      <c r="G7" s="11" t="s">
        <v>15</v>
      </c>
      <c r="I7" s="5"/>
      <c r="J7" s="5"/>
      <c r="K7" s="5"/>
    </row>
    <row r="8" spans="1:11" x14ac:dyDescent="0.25">
      <c r="A8" s="11" t="s">
        <v>24</v>
      </c>
      <c r="B8" s="12" t="s">
        <v>32</v>
      </c>
      <c r="F8" s="11" t="s">
        <v>13</v>
      </c>
      <c r="G8" s="11" t="s">
        <v>14</v>
      </c>
      <c r="I8" s="5"/>
      <c r="J8" s="5"/>
      <c r="K8" s="5"/>
    </row>
    <row r="9" spans="1:11" x14ac:dyDescent="0.25">
      <c r="A9" s="11" t="s">
        <v>23</v>
      </c>
      <c r="B9" s="12" t="s">
        <v>32</v>
      </c>
    </row>
    <row r="10" spans="1:11" x14ac:dyDescent="0.25">
      <c r="A10" s="11" t="s">
        <v>16</v>
      </c>
      <c r="B10" s="12" t="s">
        <v>32</v>
      </c>
    </row>
    <row r="11" spans="1:11" x14ac:dyDescent="0.25">
      <c r="A11" s="11" t="s">
        <v>25</v>
      </c>
      <c r="B11" s="12" t="s">
        <v>33</v>
      </c>
    </row>
    <row r="12" spans="1:11" x14ac:dyDescent="0.25">
      <c r="A12" s="11" t="s">
        <v>28</v>
      </c>
      <c r="B12" s="12" t="s">
        <v>33</v>
      </c>
    </row>
    <row r="13" spans="1:11" x14ac:dyDescent="0.25">
      <c r="A13" s="11" t="s">
        <v>29</v>
      </c>
      <c r="B13" s="12" t="s">
        <v>33</v>
      </c>
    </row>
    <row r="14" spans="1:11" x14ac:dyDescent="0.25">
      <c r="A14" s="11" t="s">
        <v>30</v>
      </c>
      <c r="B14" s="12" t="s">
        <v>33</v>
      </c>
    </row>
    <row r="15" spans="1:11" x14ac:dyDescent="0.25">
      <c r="A15" s="11" t="s">
        <v>26</v>
      </c>
      <c r="B15" s="12" t="s">
        <v>33</v>
      </c>
    </row>
    <row r="16" spans="1:11" x14ac:dyDescent="0.25">
      <c r="A16" s="11" t="s">
        <v>27</v>
      </c>
      <c r="B16" s="12" t="s">
        <v>33</v>
      </c>
    </row>
    <row r="17" spans="1:2" x14ac:dyDescent="0.25">
      <c r="A17" s="11" t="s">
        <v>31</v>
      </c>
      <c r="B17" s="12" t="s">
        <v>34</v>
      </c>
    </row>
  </sheetData>
  <dataValidations count="1">
    <dataValidation type="list" allowBlank="1" showInputMessage="1" showErrorMessage="1" sqref="B1:B1048576" xr:uid="{D5592ECE-06AF-41BF-B12A-A053D0FCCA0B}">
      <formula1>"Income,Transfert,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opLeftCell="A82" zoomScale="108" workbookViewId="0">
      <selection activeCell="L21" sqref="L21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2.7109375" customWidth="1"/>
    <col min="6" max="6" width="11.710937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Row],[Category]],categories[Category],categories[Type],"",0,1)</f>
        <v>Transfert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Row],[Category]],categories[Category],categories[Type],"",0,1)</f>
        <v>Transfert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Row],[Category]],categories[Category],categories[Type],"",0,1)</f>
        <v>Transfert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Row],[Category]],categories[Category],categories[Type],"",0,1)</f>
        <v>Transfert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Row],[Category]],categories[Category],categories[Type],"",0,1)</f>
        <v>Transfert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Row],[Category]],categories[Category],categories[Type],"",0,1)</f>
        <v>Transfert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Row],[Category]],categories[Category],categories[Type],"",0,1)</f>
        <v>Transfert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Row],[Category]],categories[Category],categories[Type],"",0,1)</f>
        <v>Transfert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Row],[Category]],categories[Category],categories[Type],"",0,1)</f>
        <v>Transfert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Row],[Category]],categories[Category],categories[Type],"",0,1)</f>
        <v>Transfert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Row],[Category]],categories[Category],categories[Type],"",0,1)</f>
        <v>Transfert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Row],[Category]],categories[Category],categories[Type],"",0,1)</f>
        <v>Transfert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Row],[Category]],categories[Category],categories[Type],"",0,1)</f>
        <v>Transfert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Row],[Category]],categories[Category],categories[Type],"",0,1)</f>
        <v>Transfert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Row],[Category]],categories[Category],categories[Type],"",0,1)</f>
        <v>Transfert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Row],[Category]],categories[Category],categories[Type],"",0,1)</f>
        <v>Transfert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Row],[Category]],categories[Category],categories[Type],"",0,1)</f>
        <v>Transfert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Row],[Category]],categories[Category],categories[Type],"",0,1)</f>
        <v>Transfert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Row],[Category]],categories[Category],categories[Type],"",0,1)</f>
        <v>Transfert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5E59C-993F-804D-8C57-8E4EE929F149}">
          <x14:formula1>
            <xm:f>_xlfn._TRO_LEADING(Dicionary!$A$2:$A$22)</xm:f>
          </x14:formula1>
          <xm:sqref>D2:D1048576</xm:sqref>
        </x14:dataValidation>
        <x14:dataValidation type="list" allowBlank="1" showInputMessage="1" showErrorMessage="1" xr:uid="{1AA4003D-4012-DC43-AE9B-D5D8326BD028}">
          <x14:formula1>
            <xm:f>Dicionary!$I$1:$K$1</xm:f>
          </x14:formula1>
          <xm:sqref>B2:B1048576</xm:sqref>
        </x14:dataValidation>
        <x14:dataValidation type="list" allowBlank="1" showInputMessage="1" showErrorMessage="1" xr:uid="{F63B9879-6BC3-8741-926A-51C97D860905}">
          <x14:formula1>
            <xm:f>CHOOSE(MATCH(B2,Dicionary!$I$1:$K$1,0),_xlfn._TRO_TRAILING(Dicionary!$I$2:$I$8),_xlfn._TRO_TRAILING(Dicionary!$J$2:$J$8),_xlfn._TRO_TRAILING(Dicionary!$K$2:$K$8))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B1B5-5F98-4F55-B062-7B3020D9074B}">
  <dimension ref="A1:K17"/>
  <sheetViews>
    <sheetView tabSelected="1" zoomScale="140" zoomScaleNormal="140" workbookViewId="0">
      <selection activeCell="K2" sqref="K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5.7109375" customWidth="1"/>
    <col min="7" max="7" width="12.85546875" bestFit="1" customWidth="1"/>
    <col min="8" max="8" width="12.42578125" customWidth="1"/>
    <col min="10" max="10" width="15.140625" bestFit="1" customWidth="1"/>
    <col min="11" max="11" width="13.28515625" customWidth="1"/>
  </cols>
  <sheetData>
    <row r="1" spans="1:11" x14ac:dyDescent="0.25">
      <c r="A1" s="13" t="s">
        <v>0</v>
      </c>
      <c r="B1" s="13" t="s">
        <v>2</v>
      </c>
      <c r="C1" s="14" t="s">
        <v>37</v>
      </c>
      <c r="D1" s="14" t="s">
        <v>35</v>
      </c>
      <c r="E1" s="14" t="s">
        <v>36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s="15" t="s">
        <v>11</v>
      </c>
      <c r="B2" s="15" t="s">
        <v>8</v>
      </c>
      <c r="C2" s="16">
        <v>100</v>
      </c>
      <c r="D2" s="16">
        <f ca="1">SUMIFS(operations[Amount],operations[Bank],flow_1[[#This Row],[Bank]],operations[Product],flow_1[[#This Row],[Product]],operations[Month],$B$11)</f>
        <v>-35</v>
      </c>
      <c r="E2" s="16">
        <f ca="1">flow_1[[#This Row],[Opening balance]]+flow_1[[#This Row],[Operations]]</f>
        <v>65</v>
      </c>
      <c r="G2" s="15" t="s">
        <v>25</v>
      </c>
      <c r="H2" s="16">
        <f ca="1">SUMIFS(operations[Amount],operations[Month],$B$11,operations[Category],incomes_1[[#This Row],[Category]])</f>
        <v>250</v>
      </c>
      <c r="J2" s="15" t="s">
        <v>18</v>
      </c>
      <c r="K2" s="16">
        <f ca="1">SUMIFS(operations[Amount],operations[Month],$B$11,operations[Category],expenses_1[[#This Row],[Category]])</f>
        <v>-2000</v>
      </c>
    </row>
    <row r="3" spans="1:11" x14ac:dyDescent="0.25">
      <c r="A3" s="15" t="s">
        <v>11</v>
      </c>
      <c r="B3" s="15" t="s">
        <v>12</v>
      </c>
      <c r="C3" s="16">
        <v>10.5</v>
      </c>
      <c r="D3" s="16">
        <f ca="1">SUMIFS(operations[Amount],operations[Bank],flow_1[[#This Row],[Bank]],operations[Product],flow_1[[#This Row],[Product]],operations[Month],$B$11)</f>
        <v>255.5</v>
      </c>
      <c r="E3" s="16">
        <f ca="1">flow_1[[#This Row],[Opening balance]]+flow_1[[#This Row],[Operations]]</f>
        <v>266</v>
      </c>
      <c r="G3" s="15" t="s">
        <v>28</v>
      </c>
      <c r="H3" s="16">
        <f ca="1">SUMIFS(operations[Amount],operations[Month],$B$11,operations[Category],incomes_1[[#This Row],[Category]])</f>
        <v>105.5</v>
      </c>
      <c r="J3" s="15" t="s">
        <v>22</v>
      </c>
      <c r="K3" s="16">
        <f ca="1">SUMIFS(operations[Amount],operations[Month],$B$11,operations[Category],expenses_1[[#This Row],[Category]])</f>
        <v>-80</v>
      </c>
    </row>
    <row r="4" spans="1:11" x14ac:dyDescent="0.25">
      <c r="A4" s="15" t="s">
        <v>7</v>
      </c>
      <c r="B4" s="15" t="s">
        <v>8</v>
      </c>
      <c r="C4" s="16">
        <v>600</v>
      </c>
      <c r="D4" s="16">
        <f ca="1">SUMIFS(operations[Amount],operations[Bank],flow_1[[#This Row],[Bank]],operations[Product],flow_1[[#This Row],[Product]],operations[Month],$B$11)</f>
        <v>1100</v>
      </c>
      <c r="E4" s="16">
        <f ca="1">flow_1[[#This Row],[Opening balance]]+flow_1[[#This Row],[Operations]]</f>
        <v>1700</v>
      </c>
      <c r="G4" s="15" t="s">
        <v>29</v>
      </c>
      <c r="H4" s="16">
        <f ca="1">SUMIFS(operations[Amount],operations[Month],$B$11,operations[Category],incomes_1[[#This Row],[Category]])</f>
        <v>0</v>
      </c>
      <c r="J4" s="15" t="s">
        <v>20</v>
      </c>
      <c r="K4" s="16">
        <f ca="1">SUMIFS(operations[Amount],operations[Month],$B$11,operations[Category],expenses_1[[#This Row],[Category]])</f>
        <v>-85</v>
      </c>
    </row>
    <row r="5" spans="1:11" x14ac:dyDescent="0.25">
      <c r="A5" s="15" t="s">
        <v>7</v>
      </c>
      <c r="B5" s="15" t="s">
        <v>9</v>
      </c>
      <c r="C5" s="16">
        <v>0</v>
      </c>
      <c r="D5" s="16">
        <f ca="1">SUMIFS(operations[Amount],operations[Bank],flow_1[[#This Row],[Bank]],operations[Product],flow_1[[#This Row],[Product]],operations[Month],$B$11)</f>
        <v>-175</v>
      </c>
      <c r="E5" s="16">
        <f ca="1">flow_1[[#This Row],[Opening balance]]+flow_1[[#This Row],[Operations]]</f>
        <v>-175</v>
      </c>
      <c r="G5" s="15" t="s">
        <v>30</v>
      </c>
      <c r="H5" s="16">
        <f ca="1">SUMIFS(operations[Amount],operations[Month],$B$11,operations[Category],incomes_1[[#This Row],[Category]])</f>
        <v>800</v>
      </c>
      <c r="J5" s="15" t="s">
        <v>17</v>
      </c>
      <c r="K5" s="16">
        <f ca="1">SUMIFS(operations[Amount],operations[Month],$B$11,operations[Category],expenses_1[[#This Row],[Category]])</f>
        <v>-1715</v>
      </c>
    </row>
    <row r="6" spans="1:11" x14ac:dyDescent="0.25">
      <c r="A6" s="15" t="s">
        <v>7</v>
      </c>
      <c r="B6" s="15" t="s">
        <v>10</v>
      </c>
      <c r="C6" s="16">
        <v>2000</v>
      </c>
      <c r="D6" s="16">
        <f ca="1">SUMIFS(operations[Amount],operations[Bank],flow_1[[#This Row],[Bank]],operations[Product],flow_1[[#This Row],[Product]],operations[Month],$B$11)</f>
        <v>-400</v>
      </c>
      <c r="E6" s="16">
        <f ca="1">flow_1[[#This Row],[Opening balance]]+flow_1[[#This Row],[Operations]]</f>
        <v>1600</v>
      </c>
      <c r="G6" s="15" t="s">
        <v>26</v>
      </c>
      <c r="H6" s="16">
        <f ca="1">SUMIFS(operations[Amount],operations[Month],$B$11,operations[Category],incomes_1[[#This Row],[Category]])</f>
        <v>4500</v>
      </c>
      <c r="J6" s="15" t="s">
        <v>21</v>
      </c>
      <c r="K6" s="16">
        <f ca="1">SUMIFS(operations[Amount],operations[Month],$B$11,operations[Category],expenses_1[[#This Row],[Category]])</f>
        <v>-100</v>
      </c>
    </row>
    <row r="7" spans="1:11" x14ac:dyDescent="0.25">
      <c r="A7" s="15" t="s">
        <v>13</v>
      </c>
      <c r="B7" s="15" t="s">
        <v>15</v>
      </c>
      <c r="C7" s="16">
        <v>200</v>
      </c>
      <c r="D7" s="16">
        <f ca="1">SUMIFS(operations[Amount],operations[Bank],flow_1[[#This Row],[Bank]],operations[Product],flow_1[[#This Row],[Product]],operations[Month],$B$11)</f>
        <v>-50</v>
      </c>
      <c r="E7" s="16">
        <f ca="1">flow_1[[#This Row],[Opening balance]]+flow_1[[#This Row],[Operations]]</f>
        <v>150</v>
      </c>
      <c r="G7" s="15" t="s">
        <v>27</v>
      </c>
      <c r="H7" s="16">
        <f ca="1">SUMIFS(operations[Amount],operations[Month],$B$11,operations[Category],incomes_1[[#This Row],[Category]])</f>
        <v>0</v>
      </c>
      <c r="J7" s="15" t="s">
        <v>19</v>
      </c>
      <c r="K7" s="16">
        <f ca="1">SUMIFS(operations[Amount],operations[Month],$B$11,operations[Category],expenses_1[[#This Row],[Category]])</f>
        <v>-150</v>
      </c>
    </row>
    <row r="8" spans="1:11" x14ac:dyDescent="0.25">
      <c r="A8" s="15" t="s">
        <v>13</v>
      </c>
      <c r="B8" s="15" t="s">
        <v>14</v>
      </c>
      <c r="C8" s="16">
        <v>30</v>
      </c>
      <c r="D8" s="16">
        <f ca="1">SUMIFS(operations[Amount],operations[Bank],flow_1[[#This Row],[Bank]],operations[Product],flow_1[[#This Row],[Product]],operations[Month],$B$11)</f>
        <v>150</v>
      </c>
      <c r="E8" s="16">
        <f ca="1">flow_1[[#This Row],[Opening balance]]+flow_1[[#This Row],[Operations]]</f>
        <v>180</v>
      </c>
      <c r="G8" t="s">
        <v>38</v>
      </c>
      <c r="H8" s="6">
        <f ca="1">SUBTOTAL(109,incomes_1[Total])</f>
        <v>5655.5</v>
      </c>
      <c r="J8" s="15" t="s">
        <v>24</v>
      </c>
      <c r="K8" s="16">
        <f ca="1">SUMIFS(operations[Amount],operations[Month],$B$11,operations[Category],expenses_1[[#This Row],[Category]])</f>
        <v>-500</v>
      </c>
    </row>
    <row r="9" spans="1:11" x14ac:dyDescent="0.25">
      <c r="A9" s="13" t="s">
        <v>38</v>
      </c>
      <c r="B9" s="13"/>
      <c r="C9" s="14">
        <f>SUBTOTAL(109,flow_1[Opening balance])</f>
        <v>2940.5</v>
      </c>
      <c r="D9" s="14">
        <f ca="1">SUBTOTAL(109,flow_1[Operations])</f>
        <v>845.5</v>
      </c>
      <c r="E9" s="14">
        <f ca="1">SUBTOTAL(109,flow_1[Closing balance])</f>
        <v>3786</v>
      </c>
      <c r="J9" s="15" t="s">
        <v>23</v>
      </c>
      <c r="K9" s="16">
        <f ca="1">SUMIFS(operations[Amount],operations[Month],$B$11,operations[Category],expenses_1[[#This Row],[Category]])</f>
        <v>-100</v>
      </c>
    </row>
    <row r="10" spans="1:11" x14ac:dyDescent="0.25">
      <c r="J10" s="15" t="s">
        <v>16</v>
      </c>
      <c r="K10" s="16">
        <f ca="1">SUMIFS(operations[Amount],operations[Month],$B$11,operations[Category],expenses_1[[#This Row],[Category]])</f>
        <v>-80</v>
      </c>
    </row>
    <row r="11" spans="1:11" x14ac:dyDescent="0.25">
      <c r="A11" s="7" t="s">
        <v>6</v>
      </c>
      <c r="B11" s="8" t="str" cm="1">
        <f t="array" aca="1" ref="B11" ca="1">_xlfn.TEXTAFTER(CELL("filename",A1),"]")</f>
        <v>1</v>
      </c>
      <c r="J11" t="s">
        <v>38</v>
      </c>
      <c r="K11" s="6">
        <f ca="1">SUBTOTAL(109,expenses_1[Total])</f>
        <v>-4810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6">
        <f ca="1">SUMIFS(operations[Amount],operations[Month],$B$11,operations[Type],balance_1[[#This Row],[Type]])</f>
        <v>-4810</v>
      </c>
    </row>
    <row r="15" spans="1:11" x14ac:dyDescent="0.25">
      <c r="A15" t="s">
        <v>33</v>
      </c>
      <c r="B15" s="6">
        <f ca="1">SUMIFS(operations[Amount],operations[Month],$B$11,operations[Type],balance_1[[#This Row],[Type]])</f>
        <v>5655.5</v>
      </c>
    </row>
    <row r="16" spans="1:11" x14ac:dyDescent="0.25">
      <c r="A16" t="s">
        <v>34</v>
      </c>
      <c r="B16" s="6">
        <f ca="1">SUMIFS(operations[Amount],operations[Month],$B$11,operations[Type],balance_1[[#This Row],[Type]])</f>
        <v>0</v>
      </c>
    </row>
    <row r="17" spans="1:2" x14ac:dyDescent="0.25">
      <c r="A17" t="s">
        <v>38</v>
      </c>
      <c r="B17" s="6">
        <f ca="1">SUBTOTAL(109,balance_1[Total])</f>
        <v>845.5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Dicionary</vt:lpstr>
      <vt:lpstr>Operations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2025-12-05T12:59:58Z</dcterms:modified>
</cp:coreProperties>
</file>